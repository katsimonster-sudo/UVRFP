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80" state="visible" r:id="rId4"/>
    <sheet sheetId="2" name="581" state="visible" r:id="rId5"/>
    <sheet sheetId="3" name="582" state="visible" r:id="rId6"/>
    <sheet sheetId="4" name="583" state="visible" r:id="rId7"/>
    <sheet sheetId="5" name="584" state="visible" r:id="rId8"/>
    <sheet sheetId="6" name="588" state="visible" r:id="rId9"/>
    <sheet sheetId="7" name="589" state="visible" r:id="rId10"/>
    <sheet sheetId="8" name="5895" state="visible" r:id="rId11"/>
    <sheet sheetId="9" name="Дані_ПДФ" state="visible" r:id="rId12"/>
    <sheet sheetId="10" name="Перевірка" state="visible" r:id="rId13"/>
  </sheets>
  <calcPr calcId="171027"/>
</workbook>
</file>

<file path=xl/sharedStrings.xml><?xml version="1.0" encoding="utf-8"?>
<sst xmlns="http://schemas.openxmlformats.org/spreadsheetml/2006/main" count="466" uniqueCount="264">
  <si>
    <t>Форма 580</t>
  </si>
  <si>
    <t>Промисловість</t>
  </si>
  <si>
    <t>Підприємство ДП "ОК "Укрвуглереструктуризація"</t>
  </si>
  <si>
    <t>ЗВІТ ПРО ВИКОНАННЯ ФІНАНСОВОГО ПЛАНУ ПІДПРИЄМСТВА (Основні показники)</t>
  </si>
  <si>
    <t>Найменування показника</t>
  </si>
  <si>
    <t>Код рядка</t>
  </si>
  <si>
    <t>Факт наростаючим з початку року</t>
  </si>
  <si>
    <t/>
  </si>
  <si>
    <t>У тому числі за кварталами</t>
  </si>
  <si>
    <t>минулий рік</t>
  </si>
  <si>
    <t>поточний рік</t>
  </si>
  <si>
    <t>1 квартал</t>
  </si>
  <si>
    <t>2 квартал</t>
  </si>
  <si>
    <t>3 квартал</t>
  </si>
  <si>
    <t>4 квартал</t>
  </si>
  <si>
    <t>I. Формування фінансових результатів</t>
  </si>
  <si>
    <t>Чистий дохід від реалізації продукції</t>
  </si>
  <si>
    <t>1000</t>
  </si>
  <si>
    <t>Собівартість реалізованої продукції</t>
  </si>
  <si>
    <t>1010</t>
  </si>
  <si>
    <t>Валовий прибуток/збиток</t>
  </si>
  <si>
    <t>1020</t>
  </si>
  <si>
    <t>EBITDA</t>
  </si>
  <si>
    <t>1300</t>
  </si>
  <si>
    <t>Чистий фінансовий результат</t>
  </si>
  <si>
    <t>1200</t>
  </si>
  <si>
    <t>II. Сплата податків, зборів та інших обов'язкових платежів</t>
  </si>
  <si>
    <t>Податок на прибуток</t>
  </si>
  <si>
    <t>2111</t>
  </si>
  <si>
    <t>Податок на додану вартість (до сплати)</t>
  </si>
  <si>
    <t>2112</t>
  </si>
  <si>
    <t>Усього виплат на користь держави</t>
  </si>
  <si>
    <t>2200</t>
  </si>
  <si>
    <t>III. Капітальні інвестиції</t>
  </si>
  <si>
    <t>4000</t>
  </si>
  <si>
    <t>IV. Коефіцієнтний аналіз</t>
  </si>
  <si>
    <t>Коефіцієнт рентабельності операційних витрат</t>
  </si>
  <si>
    <t>5011</t>
  </si>
  <si>
    <t>Коефіцієнт рентабельності власного капіталу</t>
  </si>
  <si>
    <t>5014</t>
  </si>
  <si>
    <t>Коефіцієнт рентабельності активів</t>
  </si>
  <si>
    <t>5015</t>
  </si>
  <si>
    <t>Коефіцієнт фінансової стійкості</t>
  </si>
  <si>
    <t>5020</t>
  </si>
  <si>
    <t>Коефіцієнт поточної ліквідності</t>
  </si>
  <si>
    <t>5030</t>
  </si>
  <si>
    <t>V. Звіт про фінансовий стан</t>
  </si>
  <si>
    <t>Необоротні активи, усього</t>
  </si>
  <si>
    <t>6000</t>
  </si>
  <si>
    <t>Оборотні активи, усього</t>
  </si>
  <si>
    <t>6010</t>
  </si>
  <si>
    <t>Усього активи</t>
  </si>
  <si>
    <t>6020</t>
  </si>
  <si>
    <t>Довгострокові зобов'язання</t>
  </si>
  <si>
    <t>6030</t>
  </si>
  <si>
    <t>Поточні зобов'язання</t>
  </si>
  <si>
    <t>6040</t>
  </si>
  <si>
    <t>Власний капітал</t>
  </si>
  <si>
    <t>6080</t>
  </si>
  <si>
    <t>Форма 581</t>
  </si>
  <si>
    <t>Виконання I. Формування фінансових результатів</t>
  </si>
  <si>
    <t>Інші операційні доходи, усього</t>
  </si>
  <si>
    <t>1070</t>
  </si>
  <si>
    <t>інші операційні доходи (розшифрувати)</t>
  </si>
  <si>
    <t>1073</t>
  </si>
  <si>
    <t>Інші операційні витрати, усього</t>
  </si>
  <si>
    <t>1080</t>
  </si>
  <si>
    <t>інші операційні витрати (розшифрувати)</t>
  </si>
  <si>
    <t>1086</t>
  </si>
  <si>
    <t>Фінансовий результат від операційної діяльності</t>
  </si>
  <si>
    <t>1100</t>
  </si>
  <si>
    <t>Інші доходи, усього</t>
  </si>
  <si>
    <t>1150</t>
  </si>
  <si>
    <t>Інші витрати, усього</t>
  </si>
  <si>
    <t>1160</t>
  </si>
  <si>
    <t>Чистий фінансовий результат (збиток)</t>
  </si>
  <si>
    <t>Елементи операційних витрат:</t>
  </si>
  <si>
    <t>Матеріальні витрати, у тому числі:</t>
  </si>
  <si>
    <t>1400</t>
  </si>
  <si>
    <t>витрати на сировину та матеріали</t>
  </si>
  <si>
    <t>1401</t>
  </si>
  <si>
    <t>витрати на паливо та енергію</t>
  </si>
  <si>
    <t>1402</t>
  </si>
  <si>
    <t>Витрати на оплату праці</t>
  </si>
  <si>
    <t>1410</t>
  </si>
  <si>
    <t>Відрахування на соціальні заходи</t>
  </si>
  <si>
    <t>1420</t>
  </si>
  <si>
    <t>Амортизація</t>
  </si>
  <si>
    <t>1430</t>
  </si>
  <si>
    <t>Інші операційні витрати</t>
  </si>
  <si>
    <t>1440</t>
  </si>
  <si>
    <t>Усього елементів</t>
  </si>
  <si>
    <t>1450</t>
  </si>
  <si>
    <t>Форма 582</t>
  </si>
  <si>
    <t>Виконання II. Розрахунки з бюджетом</t>
  </si>
  <si>
    <t>Розподіл чистого прибутку:</t>
  </si>
  <si>
    <t>Залишок непокритого збитку на початок періоду</t>
  </si>
  <si>
    <t>2000</t>
  </si>
  <si>
    <t>Скоригований залишок на початок періоду</t>
  </si>
  <si>
    <t>2009</t>
  </si>
  <si>
    <t>Залишок непокритого збитку на кінець періоду</t>
  </si>
  <si>
    <t>2070</t>
  </si>
  <si>
    <t>Сплата податків, зборів до Держбюджету, усього:</t>
  </si>
  <si>
    <t>2110</t>
  </si>
  <si>
    <t>податок на прибуток</t>
  </si>
  <si>
    <t>податок на додану вартість (ПДВ)</t>
  </si>
  <si>
    <t>податок на доходи фізичних осіб (ПДФО)</t>
  </si>
  <si>
    <t>2117</t>
  </si>
  <si>
    <t>інші податки та збори</t>
  </si>
  <si>
    <t>2118</t>
  </si>
  <si>
    <t>Інші платежі на користь держави (ЄСВ)</t>
  </si>
  <si>
    <t>2130</t>
  </si>
  <si>
    <t>Форма 583</t>
  </si>
  <si>
    <t>Виконання III. Рух грошових коштів</t>
  </si>
  <si>
    <t>Надходження грошових коштів від операційної діяльності</t>
  </si>
  <si>
    <t>3000</t>
  </si>
  <si>
    <t>Цільове фінансування, у тому числі:</t>
  </si>
  <si>
    <t>3040</t>
  </si>
  <si>
    <t>бюджетне фінансування</t>
  </si>
  <si>
    <t>3041</t>
  </si>
  <si>
    <t>інші надходження</t>
  </si>
  <si>
    <t>3070</t>
  </si>
  <si>
    <t>Витрачання грошових коштів від операційної діяльності</t>
  </si>
  <si>
    <t>3100</t>
  </si>
  <si>
    <t>Розрахунки за продукцію (товари, роботи, послуги)</t>
  </si>
  <si>
    <t>3110</t>
  </si>
  <si>
    <t>Розрахунки з оплати праці</t>
  </si>
  <si>
    <t>3120</t>
  </si>
  <si>
    <t>3130</t>
  </si>
  <si>
    <t>Зобов'язання з податків і зборів</t>
  </si>
  <si>
    <t>3150</t>
  </si>
  <si>
    <t>Чистий рух коштів від операційної діяльності</t>
  </si>
  <si>
    <t>3195</t>
  </si>
  <si>
    <t>Чистий рух грошових коштів за звітний період</t>
  </si>
  <si>
    <t>3400</t>
  </si>
  <si>
    <t>Залишок коштів на початок періоду</t>
  </si>
  <si>
    <t>3405</t>
  </si>
  <si>
    <t>Залишок коштів на кінець періоду</t>
  </si>
  <si>
    <t>3415</t>
  </si>
  <si>
    <t>Форма 584</t>
  </si>
  <si>
    <t>Виконання IV. Капітальні інвестиції (без ПДВ, тис. грн)</t>
  </si>
  <si>
    <t>Капітальні інвестиції, усього:</t>
  </si>
  <si>
    <t>капітальне будівництво</t>
  </si>
  <si>
    <t>4010</t>
  </si>
  <si>
    <t>придбання (виготовлення) основних засобів</t>
  </si>
  <si>
    <t>4020</t>
  </si>
  <si>
    <t>придбання інших необоротних матеріальних активів</t>
  </si>
  <si>
    <t>4030</t>
  </si>
  <si>
    <t>придбання (створення) нематеріальних активів</t>
  </si>
  <si>
    <t>4040</t>
  </si>
  <si>
    <t>модернізація, модифікація основних засобів</t>
  </si>
  <si>
    <t>4050</t>
  </si>
  <si>
    <t>капітальний ремонт</t>
  </si>
  <si>
    <t>4060</t>
  </si>
  <si>
    <t>Форма 588</t>
  </si>
  <si>
    <t>Виконання. Джерела капітальних інвестицій (без ПДВ, тис. грн)</t>
  </si>
  <si>
    <t>Усього джерел капітальних інвестицій:</t>
  </si>
  <si>
    <t>10</t>
  </si>
  <si>
    <t>залучення кредитних коштів</t>
  </si>
  <si>
    <t>20</t>
  </si>
  <si>
    <t>30</t>
  </si>
  <si>
    <t>власні кошти (розшифрувати)</t>
  </si>
  <si>
    <t>40</t>
  </si>
  <si>
    <t>інші джерела (розшифрувати)</t>
  </si>
  <si>
    <t>50</t>
  </si>
  <si>
    <t>у тому числі амортизація</t>
  </si>
  <si>
    <t>60</t>
  </si>
  <si>
    <t>Форма 589</t>
  </si>
  <si>
    <t>Виконання розшифровки до фінансового плану</t>
  </si>
  <si>
    <t>Інші операційні доходи:</t>
  </si>
  <si>
    <t>реалізація інших оборотних активів</t>
  </si>
  <si>
    <t>330</t>
  </si>
  <si>
    <t>реалізація інших послуг (робіт)</t>
  </si>
  <si>
    <t>345</t>
  </si>
  <si>
    <t>бюджетне фінансування КЕКВ 2610 (ліквідація шахт)</t>
  </si>
  <si>
    <t>380</t>
  </si>
  <si>
    <t>інші доходи (списання безнадійних боргів тощо)</t>
  </si>
  <si>
    <t>458</t>
  </si>
  <si>
    <t>Інші операційні витрати:</t>
  </si>
  <si>
    <t>бюджетні видатки за рахунок коштів КЕКВ 2610</t>
  </si>
  <si>
    <t>900</t>
  </si>
  <si>
    <t>інші витрати на закриття шахт (позабюджетні)</t>
  </si>
  <si>
    <t>984</t>
  </si>
  <si>
    <t>Форма 5895</t>
  </si>
  <si>
    <t>Дані про підприємство, персонал та фонд заробітної плати</t>
  </si>
  <si>
    <t>Середня кількість працівників (штатних), у тому числі:</t>
  </si>
  <si>
    <t>керівник</t>
  </si>
  <si>
    <t>11</t>
  </si>
  <si>
    <t>адміністративно-управлінський персонал</t>
  </si>
  <si>
    <t>12</t>
  </si>
  <si>
    <t>працівники (робітники)</t>
  </si>
  <si>
    <t>13</t>
  </si>
  <si>
    <t>Витрати на оплату праці, тис. грн, усього:</t>
  </si>
  <si>
    <t>31</t>
  </si>
  <si>
    <t>32</t>
  </si>
  <si>
    <t>працівники</t>
  </si>
  <si>
    <t>33</t>
  </si>
  <si>
    <t>Середньомісячні витрати на працівника (грн)</t>
  </si>
  <si>
    <t>Архів розпізнаних первинних показників зі сканів PDF</t>
  </si>
  <si>
    <t>Форма-джерело</t>
  </si>
  <si>
    <t>Найменування первинної статті</t>
  </si>
  <si>
    <t>Значення (тис. грн)</t>
  </si>
  <si>
    <t>Цільова форма фінплану</t>
  </si>
  <si>
    <t>Форма 1 (Баланс)</t>
  </si>
  <si>
    <t>1095</t>
  </si>
  <si>
    <t>Необоротні активи всього</t>
  </si>
  <si>
    <t>ф.580 ряд. 6000</t>
  </si>
  <si>
    <t>1195</t>
  </si>
  <si>
    <t>Оборотні активи всього</t>
  </si>
  <si>
    <t>ф.580 ряд. 6010</t>
  </si>
  <si>
    <t>Баланс (Активи)</t>
  </si>
  <si>
    <t>ф.580 ряд. 6020</t>
  </si>
  <si>
    <t>1495</t>
  </si>
  <si>
    <t>ф.580 ряд. 6080</t>
  </si>
  <si>
    <t>14201</t>
  </si>
  <si>
    <t>Непокритий збиток</t>
  </si>
  <si>
    <t>ф.582 ряд. 2070</t>
  </si>
  <si>
    <t>Форма 2 (Фінрезультати)</t>
  </si>
  <si>
    <t>2120</t>
  </si>
  <si>
    <t>Інші операційні доходи</t>
  </si>
  <si>
    <t>ф.581 ряд. 1070</t>
  </si>
  <si>
    <t>2180</t>
  </si>
  <si>
    <t>ф.581 ряд. 1080</t>
  </si>
  <si>
    <t>2195</t>
  </si>
  <si>
    <t>Фінрезультат від операційної діяльності</t>
  </si>
  <si>
    <t>ф.581 ряд. 1100</t>
  </si>
  <si>
    <t>2355</t>
  </si>
  <si>
    <t>Чистий збиток</t>
  </si>
  <si>
    <t>ф.581 ряд. 1200 / ф.582</t>
  </si>
  <si>
    <t>Код форми 1956</t>
  </si>
  <si>
    <t>70</t>
  </si>
  <si>
    <t>Бюджетне фінансування КЕКВ 2610</t>
  </si>
  <si>
    <t>ф.589 ряд. 380</t>
  </si>
  <si>
    <t>Код форми 1704</t>
  </si>
  <si>
    <t>Податок на доходи фізичних осіб (ПДФО)</t>
  </si>
  <si>
    <t>ф.582 ряд. 2117</t>
  </si>
  <si>
    <t>60+70</t>
  </si>
  <si>
    <t>Військовий збір + екологічний податок</t>
  </si>
  <si>
    <t>ф.582 ряд. 2118</t>
  </si>
  <si>
    <t>Код форми 8210</t>
  </si>
  <si>
    <t>5+50</t>
  </si>
  <si>
    <t>Єдиний соціальний внесок (ЄСВ)</t>
  </si>
  <si>
    <t>ф.582 ряд. 2134</t>
  </si>
  <si>
    <t>Форма 3 (Рух коштів)</t>
  </si>
  <si>
    <t>3010</t>
  </si>
  <si>
    <t>Цільове фінансування</t>
  </si>
  <si>
    <t>ф.583 ряд. 3040</t>
  </si>
  <si>
    <t>Код форми 1633</t>
  </si>
  <si>
    <t>41</t>
  </si>
  <si>
    <t>Бюджетне фінансування</t>
  </si>
  <si>
    <t>ф.583 ряд. 3041</t>
  </si>
  <si>
    <t>Таблиця контрольних співвідношень та перевірки балансу</t>
  </si>
  <si>
    <t>Контрольне співвідношення</t>
  </si>
  <si>
    <t>Базовий показник (A)</t>
  </si>
  <si>
    <t>Порівнюваний показник (B)</t>
  </si>
  <si>
    <t>Різниця (A - B)</t>
  </si>
  <si>
    <t>Статус контролю</t>
  </si>
  <si>
    <t>Рівність Балансу (Активи = Пасиви)</t>
  </si>
  <si>
    <t>✓ ЗБІГАЄТЬСЯ</t>
  </si>
  <si>
    <t>Чистий фінрезультат (ф.581 ряд.1200 = ф.582 ряд.1200)</t>
  </si>
  <si>
    <t>Непокритий збиток (ф.582 ряд.2070 = ф.1 Баланс ряд.14201)</t>
  </si>
  <si>
    <t>Зв'язок розшифровок доходів (ф.589 ряд.1073 = ф.581 ряд.1070)</t>
  </si>
  <si>
    <t>Зв'язок розшифровок витрат (ф.589 ряд.1086 = ф.581 ряд.1080)</t>
  </si>
  <si>
    <t>Рух коштів (Залишок поч. + Чистий рух = Залишок кін.)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</si>
</sst>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;&quot;0&quot;"/>
  </numFmts>
  <fonts count="3" x14ac:knownFonts="1">
    <font>
      <color theme="1"/>
      <family val="2"/>
      <scheme val="minor"/>
      <sz val="11"/>
      <name val="Calibri"/>
    </font>
    <font>
      <b/>
      <sz val="1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 outlineLevelRow="0" outlineLevelCol="0" x14ac:dyDescent="55"/>
  <cols>
    <col min="1" max="1" width="45" customWidth="1"/>
    <col min="2" max="2" width="12" customWidth="1"/>
    <col min="3" max="4" width="16" customWidth="1"/>
    <col min="5" max="8" width="14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s="1" t="s">
        <v>2</v>
      </c>
    </row>
    <row r="5" spans="1:1" x14ac:dyDescent="0.25">
      <c r="A5" s="2" t="s">
        <v>3</v>
      </c>
    </row>
    <row r="7" spans="1:7" s="3" customForma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7</v>
      </c>
      <c r="F7" s="4" t="s">
        <v>7</v>
      </c>
      <c r="G7" s="4" t="s">
        <v>8</v>
      </c>
    </row>
    <row r="8" spans="1:8" s="3" customFormat="1" x14ac:dyDescent="0.25">
      <c r="A8" s="4" t="s">
        <v>7</v>
      </c>
      <c r="B8" s="4" t="s">
        <v>7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x14ac:dyDescent="0.25">
      <c r="A9" s="5" t="s">
        <v>15</v>
      </c>
      <c r="B9" s="5" t="s">
        <v>7</v>
      </c>
      <c r="C9" s="5" t="s">
        <v>7</v>
      </c>
      <c r="D9" s="5" t="s">
        <v>7</v>
      </c>
      <c r="E9" s="5" t="s">
        <v>7</v>
      </c>
      <c r="F9" s="5" t="s">
        <v>7</v>
      </c>
      <c r="G9" s="5" t="s">
        <v>7</v>
      </c>
      <c r="H9" s="5" t="s">
        <v>7</v>
      </c>
    </row>
    <row r="10" spans="1:8" x14ac:dyDescent="0.25">
      <c r="A10" s="5" t="s">
        <v>16</v>
      </c>
      <c r="B10" s="5" t="s">
        <v>17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8" x14ac:dyDescent="0.25">
      <c r="A11" s="5" t="s">
        <v>18</v>
      </c>
      <c r="B11" s="5" t="s">
        <v>19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8" x14ac:dyDescent="0.25">
      <c r="A12" s="5" t="s">
        <v>20</v>
      </c>
      <c r="B12" s="5" t="s">
        <v>21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 x14ac:dyDescent="0.25">
      <c r="A13" s="5" t="s">
        <v>22</v>
      </c>
      <c r="B13" s="5" t="s">
        <v>23</v>
      </c>
      <c r="C13" s="6">
        <v>0</v>
      </c>
      <c r="D13" s="6">
        <v>-15478</v>
      </c>
      <c r="E13" s="6">
        <v>-1976</v>
      </c>
      <c r="F13" s="6">
        <v>-3984</v>
      </c>
      <c r="G13" s="6">
        <v>-9518</v>
      </c>
      <c r="H13" s="6">
        <v>0</v>
      </c>
    </row>
    <row r="14" spans="1:8" x14ac:dyDescent="0.25">
      <c r="A14" s="5" t="s">
        <v>24</v>
      </c>
      <c r="B14" s="5" t="s">
        <v>25</v>
      </c>
      <c r="C14" s="6">
        <v>0</v>
      </c>
      <c r="D14" s="6">
        <v>-14187</v>
      </c>
      <c r="E14" s="6">
        <v>-685</v>
      </c>
      <c r="F14" s="6">
        <v>-3984</v>
      </c>
      <c r="G14" s="6">
        <v>-9518</v>
      </c>
      <c r="H14" s="6">
        <v>0</v>
      </c>
    </row>
    <row r="15" spans="1:8" x14ac:dyDescent="0.25">
      <c r="A15" s="5" t="s">
        <v>26</v>
      </c>
      <c r="B15" s="5" t="s">
        <v>7</v>
      </c>
      <c r="C15" s="5" t="s">
        <v>7</v>
      </c>
      <c r="D15" s="5" t="s">
        <v>7</v>
      </c>
      <c r="E15" s="5" t="s">
        <v>7</v>
      </c>
      <c r="F15" s="5" t="s">
        <v>7</v>
      </c>
      <c r="G15" s="5" t="s">
        <v>7</v>
      </c>
      <c r="H15" s="5" t="s">
        <v>7</v>
      </c>
    </row>
    <row r="16" spans="1:8" x14ac:dyDescent="0.25">
      <c r="A16" s="5" t="s">
        <v>27</v>
      </c>
      <c r="B16" s="5" t="s">
        <v>28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x14ac:dyDescent="0.25">
      <c r="A17" s="5" t="s">
        <v>29</v>
      </c>
      <c r="B17" s="5" t="s">
        <v>30</v>
      </c>
      <c r="C17" s="6">
        <v>0</v>
      </c>
      <c r="D17" s="6">
        <v>3</v>
      </c>
      <c r="E17" s="6">
        <v>0</v>
      </c>
      <c r="F17" s="6">
        <v>1</v>
      </c>
      <c r="G17" s="6">
        <v>2</v>
      </c>
      <c r="H17" s="6">
        <v>0</v>
      </c>
    </row>
    <row r="18" spans="1:8" x14ac:dyDescent="0.25">
      <c r="A18" s="5" t="s">
        <v>31</v>
      </c>
      <c r="B18" s="5" t="s">
        <v>32</v>
      </c>
      <c r="C18" s="6">
        <v>0</v>
      </c>
      <c r="D18" s="6">
        <v>5399</v>
      </c>
      <c r="E18" s="6">
        <v>1766</v>
      </c>
      <c r="F18" s="6">
        <v>1803</v>
      </c>
      <c r="G18" s="6">
        <v>1830</v>
      </c>
      <c r="H18" s="6">
        <v>0</v>
      </c>
    </row>
    <row r="19" spans="1:8" x14ac:dyDescent="0.25">
      <c r="A19" s="5" t="s">
        <v>33</v>
      </c>
      <c r="B19" s="5" t="s">
        <v>34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</row>
    <row r="20" spans="1:8" x14ac:dyDescent="0.25">
      <c r="A20" s="5" t="s">
        <v>35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  <c r="H20" s="5" t="s">
        <v>7</v>
      </c>
    </row>
    <row r="21" spans="1:8" x14ac:dyDescent="0.25">
      <c r="A21" s="5" t="s">
        <v>36</v>
      </c>
      <c r="B21" s="5" t="s">
        <v>37</v>
      </c>
      <c r="C21" s="6">
        <v>0</v>
      </c>
      <c r="D21" s="6">
        <v>-0.096</v>
      </c>
      <c r="E21" s="6">
        <v>-0.0423</v>
      </c>
      <c r="F21" s="6">
        <v>-0.0656</v>
      </c>
      <c r="G21" s="6">
        <v>-0.1753</v>
      </c>
      <c r="H21" s="6">
        <v>0</v>
      </c>
    </row>
    <row r="22" spans="1:8" x14ac:dyDescent="0.25">
      <c r="A22" s="5" t="s">
        <v>38</v>
      </c>
      <c r="B22" s="5" t="s">
        <v>39</v>
      </c>
      <c r="C22" s="6">
        <v>0</v>
      </c>
      <c r="D22" s="6">
        <v>0.2244</v>
      </c>
      <c r="E22" s="6">
        <v>0.0138</v>
      </c>
      <c r="F22" s="6">
        <v>0.0743</v>
      </c>
      <c r="G22" s="6">
        <v>0.1505</v>
      </c>
      <c r="H22" s="6">
        <v>0</v>
      </c>
    </row>
    <row r="23" spans="1:8" x14ac:dyDescent="0.25">
      <c r="A23" s="5" t="s">
        <v>40</v>
      </c>
      <c r="B23" s="5" t="s">
        <v>41</v>
      </c>
      <c r="C23" s="6">
        <v>0</v>
      </c>
      <c r="D23" s="6">
        <v>-0.2174</v>
      </c>
      <c r="E23" s="6">
        <v>-0.0101</v>
      </c>
      <c r="F23" s="6">
        <v>-0.0583</v>
      </c>
      <c r="G23" s="6">
        <v>-0.1458</v>
      </c>
      <c r="H23" s="6">
        <v>0</v>
      </c>
    </row>
    <row r="24" spans="1:8" x14ac:dyDescent="0.25">
      <c r="A24" s="5" t="s">
        <v>42</v>
      </c>
      <c r="B24" s="5" t="s">
        <v>43</v>
      </c>
      <c r="C24" s="6">
        <v>0</v>
      </c>
      <c r="D24" s="6">
        <v>-0.4921</v>
      </c>
      <c r="E24" s="6">
        <v>-0.4213</v>
      </c>
      <c r="F24" s="6">
        <v>-0.4396</v>
      </c>
      <c r="G24" s="6">
        <v>-0.4921</v>
      </c>
      <c r="H24" s="6">
        <v>0</v>
      </c>
    </row>
    <row r="25" spans="1:8" x14ac:dyDescent="0.25">
      <c r="A25" s="5" t="s">
        <v>44</v>
      </c>
      <c r="B25" s="5" t="s">
        <v>45</v>
      </c>
      <c r="C25" s="6">
        <v>0</v>
      </c>
      <c r="D25" s="6">
        <v>0.0317</v>
      </c>
      <c r="E25" s="6">
        <v>0.0314</v>
      </c>
      <c r="F25" s="6">
        <v>0.0346</v>
      </c>
      <c r="G25" s="6">
        <v>0.03</v>
      </c>
      <c r="H25" s="6">
        <v>0</v>
      </c>
    </row>
    <row r="26" spans="1:8" x14ac:dyDescent="0.25">
      <c r="A26" s="5" t="s">
        <v>46</v>
      </c>
      <c r="B26" s="5" t="s">
        <v>7</v>
      </c>
      <c r="C26" s="5" t="s">
        <v>7</v>
      </c>
      <c r="D26" s="5" t="s">
        <v>7</v>
      </c>
      <c r="E26" s="5" t="s">
        <v>7</v>
      </c>
      <c r="F26" s="5" t="s">
        <v>7</v>
      </c>
      <c r="G26" s="5" t="s">
        <v>7</v>
      </c>
      <c r="H26" s="5" t="s">
        <v>7</v>
      </c>
    </row>
    <row r="27" spans="1:8" x14ac:dyDescent="0.25">
      <c r="A27" s="5" t="s">
        <v>47</v>
      </c>
      <c r="B27" s="5" t="s">
        <v>48</v>
      </c>
      <c r="C27" s="6">
        <v>0</v>
      </c>
      <c r="D27" s="6">
        <v>61890</v>
      </c>
      <c r="E27" s="6">
        <v>65094</v>
      </c>
      <c r="F27" s="6">
        <v>64907</v>
      </c>
      <c r="G27" s="6">
        <v>61890</v>
      </c>
      <c r="H27" s="6">
        <v>0</v>
      </c>
    </row>
    <row r="28" spans="1:8" x14ac:dyDescent="0.25">
      <c r="A28" s="5" t="s">
        <v>49</v>
      </c>
      <c r="B28" s="5" t="s">
        <v>50</v>
      </c>
      <c r="C28" s="6">
        <v>0</v>
      </c>
      <c r="D28" s="6">
        <v>3374</v>
      </c>
      <c r="E28" s="6">
        <v>2996</v>
      </c>
      <c r="F28" s="6">
        <v>3453</v>
      </c>
      <c r="G28" s="6">
        <v>3374</v>
      </c>
      <c r="H28" s="6">
        <v>0</v>
      </c>
    </row>
    <row r="29" spans="1:8" x14ac:dyDescent="0.25">
      <c r="A29" s="5" t="s">
        <v>51</v>
      </c>
      <c r="B29" s="5" t="s">
        <v>52</v>
      </c>
      <c r="C29" s="6">
        <v>0</v>
      </c>
      <c r="D29" s="6">
        <v>65264</v>
      </c>
      <c r="E29" s="6">
        <v>68090</v>
      </c>
      <c r="F29" s="6">
        <v>68360</v>
      </c>
      <c r="G29" s="6">
        <v>65264</v>
      </c>
      <c r="H29" s="6">
        <v>0</v>
      </c>
    </row>
    <row r="30" spans="1:8" x14ac:dyDescent="0.25">
      <c r="A30" s="5" t="s">
        <v>53</v>
      </c>
      <c r="B30" s="5" t="s">
        <v>54</v>
      </c>
      <c r="C30" s="6">
        <v>0</v>
      </c>
      <c r="D30" s="6">
        <v>22170</v>
      </c>
      <c r="E30" s="6">
        <v>22375</v>
      </c>
      <c r="F30" s="6">
        <v>22256</v>
      </c>
      <c r="G30" s="6">
        <v>22170</v>
      </c>
      <c r="H30" s="6">
        <v>0</v>
      </c>
    </row>
    <row r="31" spans="1:8" x14ac:dyDescent="0.25">
      <c r="A31" s="5" t="s">
        <v>55</v>
      </c>
      <c r="B31" s="5" t="s">
        <v>56</v>
      </c>
      <c r="C31" s="6">
        <v>0</v>
      </c>
      <c r="D31" s="6">
        <v>106317</v>
      </c>
      <c r="E31" s="6">
        <v>95292</v>
      </c>
      <c r="F31" s="6">
        <v>99739</v>
      </c>
      <c r="G31" s="6">
        <v>106317</v>
      </c>
      <c r="H31" s="6">
        <v>0</v>
      </c>
    </row>
    <row r="32" spans="1:8" x14ac:dyDescent="0.25">
      <c r="A32" s="5" t="s">
        <v>57</v>
      </c>
      <c r="B32" s="5" t="s">
        <v>58</v>
      </c>
      <c r="C32" s="6">
        <v>0</v>
      </c>
      <c r="D32" s="6">
        <v>-63223</v>
      </c>
      <c r="E32" s="6">
        <v>-49577</v>
      </c>
      <c r="F32" s="6">
        <v>-53635</v>
      </c>
      <c r="G32" s="6">
        <v>-63223</v>
      </c>
      <c r="H32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 outlineLevelRow="0" outlineLevelCol="0" x14ac:dyDescent="55"/>
  <cols>
    <col min="1" max="1" width="45" customWidth="1"/>
    <col min="2" max="2" width="12" customWidth="1"/>
    <col min="3" max="4" width="16" customWidth="1"/>
    <col min="5" max="8" width="14" customWidth="1"/>
  </cols>
  <sheetData>
    <row r="1" spans="1:1" x14ac:dyDescent="0.25">
      <c r="A1" s="1" t="s">
        <v>59</v>
      </c>
    </row>
    <row r="2" spans="1:1" x14ac:dyDescent="0.25">
      <c r="A2" t="s">
        <v>1</v>
      </c>
    </row>
    <row r="3" spans="1:1" x14ac:dyDescent="0.25">
      <c r="A3" s="1" t="s">
        <v>2</v>
      </c>
    </row>
    <row r="5" spans="1:1" x14ac:dyDescent="0.25">
      <c r="A5" s="2" t="s">
        <v>60</v>
      </c>
    </row>
    <row r="7" spans="1:7" s="3" customForma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7</v>
      </c>
      <c r="F7" s="4" t="s">
        <v>7</v>
      </c>
      <c r="G7" s="4" t="s">
        <v>8</v>
      </c>
    </row>
    <row r="8" spans="1:8" s="3" customFormat="1" x14ac:dyDescent="0.25">
      <c r="A8" s="4" t="s">
        <v>7</v>
      </c>
      <c r="B8" s="4" t="s">
        <v>7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x14ac:dyDescent="0.25">
      <c r="A9" s="5" t="s">
        <v>61</v>
      </c>
      <c r="B9" s="5" t="s">
        <v>62</v>
      </c>
      <c r="C9" s="6">
        <v>0</v>
      </c>
      <c r="D9" s="6">
        <v>151072</v>
      </c>
      <c r="E9" s="6">
        <v>48834</v>
      </c>
      <c r="F9" s="6">
        <v>59443</v>
      </c>
      <c r="G9" s="6">
        <v>42795</v>
      </c>
      <c r="H9" s="6">
        <v>0</v>
      </c>
    </row>
    <row r="10" spans="1:8" x14ac:dyDescent="0.25">
      <c r="A10" s="5" t="s">
        <v>63</v>
      </c>
      <c r="B10" s="5" t="s">
        <v>64</v>
      </c>
      <c r="C10" s="6">
        <v>0</v>
      </c>
      <c r="D10" s="6">
        <v>151072</v>
      </c>
      <c r="E10" s="6">
        <v>48834</v>
      </c>
      <c r="F10" s="6">
        <v>59443</v>
      </c>
      <c r="G10" s="6">
        <v>42795</v>
      </c>
      <c r="H10" s="6">
        <v>0</v>
      </c>
    </row>
    <row r="11" spans="1:8" x14ac:dyDescent="0.25">
      <c r="A11" s="5" t="s">
        <v>65</v>
      </c>
      <c r="B11" s="5" t="s">
        <v>66</v>
      </c>
      <c r="C11" s="6">
        <v>0</v>
      </c>
      <c r="D11" s="6">
        <v>167108</v>
      </c>
      <c r="E11" s="6">
        <v>50997</v>
      </c>
      <c r="F11" s="6">
        <v>63614</v>
      </c>
      <c r="G11" s="6">
        <v>52497</v>
      </c>
      <c r="H11" s="6">
        <v>0</v>
      </c>
    </row>
    <row r="12" spans="1:8" x14ac:dyDescent="0.25">
      <c r="A12" s="5" t="s">
        <v>67</v>
      </c>
      <c r="B12" s="5" t="s">
        <v>68</v>
      </c>
      <c r="C12" s="6">
        <v>0</v>
      </c>
      <c r="D12" s="6">
        <v>167108</v>
      </c>
      <c r="E12" s="6">
        <v>50997</v>
      </c>
      <c r="F12" s="6">
        <v>63614</v>
      </c>
      <c r="G12" s="6">
        <v>52497</v>
      </c>
      <c r="H12" s="6">
        <v>0</v>
      </c>
    </row>
    <row r="13" spans="1:8" x14ac:dyDescent="0.25">
      <c r="A13" s="5" t="s">
        <v>69</v>
      </c>
      <c r="B13" s="5" t="s">
        <v>70</v>
      </c>
      <c r="C13" s="6">
        <v>0</v>
      </c>
      <c r="D13" s="6">
        <v>-16036</v>
      </c>
      <c r="E13" s="6">
        <v>-2163</v>
      </c>
      <c r="F13" s="6">
        <v>-4171</v>
      </c>
      <c r="G13" s="6">
        <v>-9702</v>
      </c>
      <c r="H13" s="6">
        <v>0</v>
      </c>
    </row>
    <row r="14" spans="1:8" x14ac:dyDescent="0.25">
      <c r="A14" s="5" t="s">
        <v>71</v>
      </c>
      <c r="B14" s="5" t="s">
        <v>72</v>
      </c>
      <c r="C14" s="6">
        <v>0</v>
      </c>
      <c r="D14" s="6">
        <v>4859</v>
      </c>
      <c r="E14" s="6">
        <v>1655</v>
      </c>
      <c r="F14" s="6">
        <v>187</v>
      </c>
      <c r="G14" s="6">
        <v>3017</v>
      </c>
      <c r="H14" s="6">
        <v>0</v>
      </c>
    </row>
    <row r="15" spans="1:8" x14ac:dyDescent="0.25">
      <c r="A15" s="5" t="s">
        <v>73</v>
      </c>
      <c r="B15" s="5" t="s">
        <v>74</v>
      </c>
      <c r="C15" s="6">
        <v>0</v>
      </c>
      <c r="D15" s="6">
        <v>3010</v>
      </c>
      <c r="E15" s="6">
        <v>177</v>
      </c>
      <c r="F15" s="6">
        <v>0</v>
      </c>
      <c r="G15" s="6">
        <v>2833</v>
      </c>
      <c r="H15" s="6">
        <v>0</v>
      </c>
    </row>
    <row r="16" spans="1:8" x14ac:dyDescent="0.25">
      <c r="A16" s="5" t="s">
        <v>75</v>
      </c>
      <c r="B16" s="5" t="s">
        <v>25</v>
      </c>
      <c r="C16" s="6">
        <v>0</v>
      </c>
      <c r="D16" s="6">
        <v>-14187</v>
      </c>
      <c r="E16" s="6">
        <v>-685</v>
      </c>
      <c r="F16" s="6">
        <v>-3984</v>
      </c>
      <c r="G16" s="6">
        <v>-9518</v>
      </c>
      <c r="H16" s="6">
        <v>0</v>
      </c>
    </row>
    <row r="17" spans="1:8" x14ac:dyDescent="0.25">
      <c r="A17" s="5" t="s">
        <v>22</v>
      </c>
      <c r="B17" s="5" t="s">
        <v>23</v>
      </c>
      <c r="C17" s="6">
        <v>0</v>
      </c>
      <c r="D17" s="6">
        <v>-15478</v>
      </c>
      <c r="E17" s="6">
        <v>-1976</v>
      </c>
      <c r="F17" s="6">
        <v>-3984</v>
      </c>
      <c r="G17" s="6">
        <v>-9518</v>
      </c>
      <c r="H17" s="6">
        <v>0</v>
      </c>
    </row>
    <row r="18" spans="1:8" x14ac:dyDescent="0.25">
      <c r="A18" s="5" t="s">
        <v>76</v>
      </c>
      <c r="B18" s="5" t="s">
        <v>7</v>
      </c>
      <c r="C18" s="5" t="s">
        <v>7</v>
      </c>
      <c r="D18" s="5" t="s">
        <v>7</v>
      </c>
      <c r="E18" s="5" t="s">
        <v>7</v>
      </c>
      <c r="F18" s="5" t="s">
        <v>7</v>
      </c>
      <c r="G18" s="5" t="s">
        <v>7</v>
      </c>
      <c r="H18" s="5" t="s">
        <v>7</v>
      </c>
    </row>
    <row r="19" spans="1:8" x14ac:dyDescent="0.25">
      <c r="A19" s="5" t="s">
        <v>77</v>
      </c>
      <c r="B19" s="5" t="s">
        <v>78</v>
      </c>
      <c r="C19" s="6">
        <v>0</v>
      </c>
      <c r="D19" s="6">
        <v>1466</v>
      </c>
      <c r="E19" s="6">
        <v>193</v>
      </c>
      <c r="F19" s="6">
        <v>945</v>
      </c>
      <c r="G19" s="6">
        <v>328</v>
      </c>
      <c r="H19" s="6">
        <v>0</v>
      </c>
    </row>
    <row r="20" spans="1:8" x14ac:dyDescent="0.25">
      <c r="A20" s="5" t="s">
        <v>79</v>
      </c>
      <c r="B20" s="5" t="s">
        <v>80</v>
      </c>
      <c r="C20" s="6">
        <v>0</v>
      </c>
      <c r="D20" s="6">
        <v>166</v>
      </c>
      <c r="E20" s="6">
        <v>88</v>
      </c>
      <c r="F20" s="6">
        <v>124</v>
      </c>
      <c r="G20" s="6">
        <v>-46</v>
      </c>
      <c r="H20" s="6">
        <v>0</v>
      </c>
    </row>
    <row r="21" spans="1:8" x14ac:dyDescent="0.25">
      <c r="A21" s="5" t="s">
        <v>81</v>
      </c>
      <c r="B21" s="5" t="s">
        <v>82</v>
      </c>
      <c r="C21" s="6">
        <v>0</v>
      </c>
      <c r="D21" s="6">
        <v>1300</v>
      </c>
      <c r="E21" s="6">
        <v>105</v>
      </c>
      <c r="F21" s="6">
        <v>821</v>
      </c>
      <c r="G21" s="6">
        <v>374</v>
      </c>
      <c r="H21" s="6">
        <v>0</v>
      </c>
    </row>
    <row r="22" spans="1:8" x14ac:dyDescent="0.25">
      <c r="A22" s="5" t="s">
        <v>83</v>
      </c>
      <c r="B22" s="5" t="s">
        <v>84</v>
      </c>
      <c r="C22" s="6">
        <v>0</v>
      </c>
      <c r="D22" s="6">
        <v>11986</v>
      </c>
      <c r="E22" s="6">
        <v>3861</v>
      </c>
      <c r="F22" s="6">
        <v>4165</v>
      </c>
      <c r="G22" s="6">
        <v>3960</v>
      </c>
      <c r="H22" s="6">
        <v>0</v>
      </c>
    </row>
    <row r="23" spans="1:8" x14ac:dyDescent="0.25">
      <c r="A23" s="5" t="s">
        <v>85</v>
      </c>
      <c r="B23" s="5" t="s">
        <v>86</v>
      </c>
      <c r="C23" s="6">
        <v>0</v>
      </c>
      <c r="D23" s="6">
        <v>2473</v>
      </c>
      <c r="E23" s="6">
        <v>765</v>
      </c>
      <c r="F23" s="6">
        <v>849</v>
      </c>
      <c r="G23" s="6">
        <v>859</v>
      </c>
      <c r="H23" s="6">
        <v>0</v>
      </c>
    </row>
    <row r="24" spans="1:8" x14ac:dyDescent="0.25">
      <c r="A24" s="5" t="s">
        <v>87</v>
      </c>
      <c r="B24" s="5" t="s">
        <v>88</v>
      </c>
      <c r="C24" s="6">
        <v>0</v>
      </c>
      <c r="D24" s="6">
        <v>558</v>
      </c>
      <c r="E24" s="6">
        <v>187</v>
      </c>
      <c r="F24" s="6">
        <v>187</v>
      </c>
      <c r="G24" s="6">
        <v>184</v>
      </c>
      <c r="H24" s="6">
        <v>0</v>
      </c>
    </row>
    <row r="25" spans="1:8" x14ac:dyDescent="0.25">
      <c r="A25" s="5" t="s">
        <v>89</v>
      </c>
      <c r="B25" s="5" t="s">
        <v>90</v>
      </c>
      <c r="C25" s="6">
        <v>0</v>
      </c>
      <c r="D25" s="6">
        <v>150625</v>
      </c>
      <c r="E25" s="6">
        <v>45991</v>
      </c>
      <c r="F25" s="6">
        <v>57468</v>
      </c>
      <c r="G25" s="6">
        <v>47166</v>
      </c>
      <c r="H25" s="6">
        <v>0</v>
      </c>
    </row>
    <row r="26" spans="1:8" x14ac:dyDescent="0.25">
      <c r="A26" s="5" t="s">
        <v>91</v>
      </c>
      <c r="B26" s="5" t="s">
        <v>92</v>
      </c>
      <c r="C26" s="6">
        <v>0</v>
      </c>
      <c r="D26" s="6">
        <v>167108</v>
      </c>
      <c r="E26" s="6">
        <v>50997</v>
      </c>
      <c r="F26" s="6">
        <v>63614</v>
      </c>
      <c r="G26" s="6">
        <v>52497</v>
      </c>
      <c r="H26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 outlineLevelRow="0" outlineLevelCol="0" x14ac:dyDescent="55"/>
  <cols>
    <col min="1" max="1" width="45" customWidth="1"/>
    <col min="2" max="2" width="12" customWidth="1"/>
    <col min="3" max="4" width="16" customWidth="1"/>
    <col min="5" max="8" width="14" customWidth="1"/>
  </cols>
  <sheetData>
    <row r="1" spans="1:1" x14ac:dyDescent="0.25">
      <c r="A1" s="1" t="s">
        <v>93</v>
      </c>
    </row>
    <row r="2" spans="1:1" x14ac:dyDescent="0.25">
      <c r="A2" t="s">
        <v>1</v>
      </c>
    </row>
    <row r="3" spans="1:1" x14ac:dyDescent="0.25">
      <c r="A3" s="1" t="s">
        <v>2</v>
      </c>
    </row>
    <row r="5" spans="1:1" x14ac:dyDescent="0.25">
      <c r="A5" s="2" t="s">
        <v>94</v>
      </c>
    </row>
    <row r="7" spans="1:7" s="3" customForma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7</v>
      </c>
      <c r="F7" s="4" t="s">
        <v>7</v>
      </c>
      <c r="G7" s="4" t="s">
        <v>8</v>
      </c>
    </row>
    <row r="8" spans="1:8" s="3" customFormat="1" x14ac:dyDescent="0.25">
      <c r="A8" s="4" t="s">
        <v>7</v>
      </c>
      <c r="B8" s="4" t="s">
        <v>7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x14ac:dyDescent="0.25">
      <c r="A9" s="5" t="s">
        <v>95</v>
      </c>
      <c r="B9" s="5" t="s">
        <v>7</v>
      </c>
      <c r="C9" s="5" t="s">
        <v>7</v>
      </c>
      <c r="D9" s="5" t="s">
        <v>7</v>
      </c>
      <c r="E9" s="5" t="s">
        <v>7</v>
      </c>
      <c r="F9" s="5" t="s">
        <v>7</v>
      </c>
      <c r="G9" s="5" t="s">
        <v>7</v>
      </c>
      <c r="H9" s="5" t="s">
        <v>7</v>
      </c>
    </row>
    <row r="10" spans="1:8" x14ac:dyDescent="0.25">
      <c r="A10" s="5" t="s">
        <v>24</v>
      </c>
      <c r="B10" s="5" t="s">
        <v>25</v>
      </c>
      <c r="C10" s="6">
        <v>0</v>
      </c>
      <c r="D10" s="6">
        <v>-14187</v>
      </c>
      <c r="E10" s="6">
        <v>-685</v>
      </c>
      <c r="F10" s="6">
        <v>-3984</v>
      </c>
      <c r="G10" s="6">
        <v>-9518</v>
      </c>
      <c r="H10" s="6">
        <v>0</v>
      </c>
    </row>
    <row r="11" spans="1:8" x14ac:dyDescent="0.25">
      <c r="A11" s="5" t="s">
        <v>96</v>
      </c>
      <c r="B11" s="5" t="s">
        <v>97</v>
      </c>
      <c r="C11" s="6">
        <v>0</v>
      </c>
      <c r="D11" s="6">
        <v>-68316</v>
      </c>
      <c r="E11" s="6">
        <v>-68316</v>
      </c>
      <c r="F11" s="6">
        <v>-69001</v>
      </c>
      <c r="G11" s="6">
        <v>-72985</v>
      </c>
      <c r="H11" s="6">
        <v>0</v>
      </c>
    </row>
    <row r="12" spans="1:8" x14ac:dyDescent="0.25">
      <c r="A12" s="5" t="s">
        <v>98</v>
      </c>
      <c r="B12" s="5" t="s">
        <v>99</v>
      </c>
      <c r="C12" s="6">
        <v>0</v>
      </c>
      <c r="D12" s="6">
        <v>-68316</v>
      </c>
      <c r="E12" s="6">
        <v>-68316</v>
      </c>
      <c r="F12" s="6">
        <v>-69001</v>
      </c>
      <c r="G12" s="6">
        <v>-72985</v>
      </c>
      <c r="H12" s="6">
        <v>0</v>
      </c>
    </row>
    <row r="13" spans="1:8" x14ac:dyDescent="0.25">
      <c r="A13" s="5" t="s">
        <v>100</v>
      </c>
      <c r="B13" s="5" t="s">
        <v>101</v>
      </c>
      <c r="C13" s="6">
        <v>0</v>
      </c>
      <c r="D13" s="6">
        <v>-82503</v>
      </c>
      <c r="E13" s="6">
        <v>-69001</v>
      </c>
      <c r="F13" s="6">
        <v>-72985</v>
      </c>
      <c r="G13" s="6">
        <v>-82503</v>
      </c>
      <c r="H13" s="6">
        <v>0</v>
      </c>
    </row>
    <row r="14" spans="1:8" x14ac:dyDescent="0.25">
      <c r="A14" s="5" t="s">
        <v>102</v>
      </c>
      <c r="B14" s="5" t="s">
        <v>103</v>
      </c>
      <c r="C14" s="6">
        <v>0</v>
      </c>
      <c r="D14" s="6">
        <v>2859</v>
      </c>
      <c r="E14" s="6">
        <v>934</v>
      </c>
      <c r="F14" s="6">
        <v>954</v>
      </c>
      <c r="G14" s="6">
        <v>971</v>
      </c>
      <c r="H14" s="6">
        <v>0</v>
      </c>
    </row>
    <row r="15" spans="1:8" x14ac:dyDescent="0.25">
      <c r="A15" s="5" t="s">
        <v>104</v>
      </c>
      <c r="B15" s="5" t="s">
        <v>28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</row>
    <row r="16" spans="1:8" x14ac:dyDescent="0.25">
      <c r="A16" s="5" t="s">
        <v>105</v>
      </c>
      <c r="B16" s="5" t="s">
        <v>30</v>
      </c>
      <c r="C16" s="6">
        <v>0</v>
      </c>
      <c r="D16" s="6">
        <v>3</v>
      </c>
      <c r="E16" s="6">
        <v>0</v>
      </c>
      <c r="F16" s="6">
        <v>1</v>
      </c>
      <c r="G16" s="6">
        <v>2</v>
      </c>
      <c r="H16" s="6">
        <v>0</v>
      </c>
    </row>
    <row r="17" spans="1:8" x14ac:dyDescent="0.25">
      <c r="A17" s="5" t="s">
        <v>106</v>
      </c>
      <c r="B17" s="5" t="s">
        <v>107</v>
      </c>
      <c r="C17" s="6">
        <v>0</v>
      </c>
      <c r="D17" s="6">
        <v>2235</v>
      </c>
      <c r="E17" s="6">
        <v>731</v>
      </c>
      <c r="F17" s="6">
        <v>746</v>
      </c>
      <c r="G17" s="6">
        <v>758</v>
      </c>
      <c r="H17" s="6">
        <v>0</v>
      </c>
    </row>
    <row r="18" spans="1:8" x14ac:dyDescent="0.25">
      <c r="A18" s="5" t="s">
        <v>108</v>
      </c>
      <c r="B18" s="5" t="s">
        <v>109</v>
      </c>
      <c r="C18" s="6">
        <v>0</v>
      </c>
      <c r="D18" s="6">
        <v>621</v>
      </c>
      <c r="E18" s="6">
        <v>203</v>
      </c>
      <c r="F18" s="6">
        <v>207</v>
      </c>
      <c r="G18" s="6">
        <v>211</v>
      </c>
      <c r="H18" s="6">
        <v>0</v>
      </c>
    </row>
    <row r="19" spans="1:8" x14ac:dyDescent="0.25">
      <c r="A19" s="5" t="s">
        <v>110</v>
      </c>
      <c r="B19" s="5" t="s">
        <v>111</v>
      </c>
      <c r="C19" s="6">
        <v>0</v>
      </c>
      <c r="D19" s="6">
        <v>2540</v>
      </c>
      <c r="E19" s="6">
        <v>832</v>
      </c>
      <c r="F19" s="6">
        <v>849</v>
      </c>
      <c r="G19" s="6">
        <v>859</v>
      </c>
      <c r="H19" s="6">
        <v>0</v>
      </c>
    </row>
    <row r="20" spans="1:8" x14ac:dyDescent="0.25">
      <c r="A20" s="5" t="s">
        <v>31</v>
      </c>
      <c r="B20" s="5" t="s">
        <v>32</v>
      </c>
      <c r="C20" s="6">
        <v>0</v>
      </c>
      <c r="D20" s="6">
        <v>5399</v>
      </c>
      <c r="E20" s="6">
        <v>1766</v>
      </c>
      <c r="F20" s="6">
        <v>1803</v>
      </c>
      <c r="G20" s="6">
        <v>1830</v>
      </c>
      <c r="H20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 outlineLevelRow="0" outlineLevelCol="0" x14ac:dyDescent="55"/>
  <cols>
    <col min="1" max="1" width="45" customWidth="1"/>
    <col min="2" max="2" width="12" customWidth="1"/>
    <col min="3" max="4" width="16" customWidth="1"/>
    <col min="5" max="8" width="14" customWidth="1"/>
  </cols>
  <sheetData>
    <row r="1" spans="1:1" x14ac:dyDescent="0.25">
      <c r="A1" s="1" t="s">
        <v>112</v>
      </c>
    </row>
    <row r="2" spans="1:1" x14ac:dyDescent="0.25">
      <c r="A2" t="s">
        <v>1</v>
      </c>
    </row>
    <row r="3" spans="1:1" x14ac:dyDescent="0.25">
      <c r="A3" s="1" t="s">
        <v>2</v>
      </c>
    </row>
    <row r="5" spans="1:1" x14ac:dyDescent="0.25">
      <c r="A5" s="2" t="s">
        <v>113</v>
      </c>
    </row>
    <row r="7" spans="1:7" s="3" customForma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7</v>
      </c>
      <c r="F7" s="4" t="s">
        <v>7</v>
      </c>
      <c r="G7" s="4" t="s">
        <v>8</v>
      </c>
    </row>
    <row r="8" spans="1:8" s="3" customFormat="1" x14ac:dyDescent="0.25">
      <c r="A8" s="4" t="s">
        <v>7</v>
      </c>
      <c r="B8" s="4" t="s">
        <v>7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x14ac:dyDescent="0.25">
      <c r="A9" s="5" t="s">
        <v>114</v>
      </c>
      <c r="B9" s="5" t="s">
        <v>115</v>
      </c>
      <c r="C9" s="6">
        <v>0</v>
      </c>
      <c r="D9" s="6">
        <v>153176</v>
      </c>
      <c r="E9" s="6">
        <v>47480</v>
      </c>
      <c r="F9" s="6">
        <v>60383</v>
      </c>
      <c r="G9" s="6">
        <v>45313</v>
      </c>
      <c r="H9" s="6">
        <v>0</v>
      </c>
    </row>
    <row r="10" spans="1:8" x14ac:dyDescent="0.25">
      <c r="A10" s="5" t="s">
        <v>116</v>
      </c>
      <c r="B10" s="5" t="s">
        <v>117</v>
      </c>
      <c r="C10" s="6">
        <v>0</v>
      </c>
      <c r="D10" s="6">
        <v>152421</v>
      </c>
      <c r="E10" s="6">
        <v>47350</v>
      </c>
      <c r="F10" s="6">
        <v>59783</v>
      </c>
      <c r="G10" s="6">
        <v>45288</v>
      </c>
      <c r="H10" s="6">
        <v>0</v>
      </c>
    </row>
    <row r="11" spans="1:8" x14ac:dyDescent="0.25">
      <c r="A11" s="5" t="s">
        <v>118</v>
      </c>
      <c r="B11" s="5" t="s">
        <v>119</v>
      </c>
      <c r="C11" s="6">
        <v>0</v>
      </c>
      <c r="D11" s="6">
        <v>148146</v>
      </c>
      <c r="E11" s="6">
        <v>47350</v>
      </c>
      <c r="F11" s="6">
        <v>58750</v>
      </c>
      <c r="G11" s="6">
        <v>42046</v>
      </c>
      <c r="H11" s="6">
        <v>0</v>
      </c>
    </row>
    <row r="12" spans="1:8" x14ac:dyDescent="0.25">
      <c r="A12" s="5" t="s">
        <v>120</v>
      </c>
      <c r="B12" s="5" t="s">
        <v>121</v>
      </c>
      <c r="C12" s="6">
        <v>0</v>
      </c>
      <c r="D12" s="6">
        <v>755</v>
      </c>
      <c r="E12" s="6">
        <v>130</v>
      </c>
      <c r="F12" s="6">
        <v>600</v>
      </c>
      <c r="G12" s="6">
        <v>25</v>
      </c>
      <c r="H12" s="6">
        <v>0</v>
      </c>
    </row>
    <row r="13" spans="1:8" x14ac:dyDescent="0.25">
      <c r="A13" s="5" t="s">
        <v>122</v>
      </c>
      <c r="B13" s="5" t="s">
        <v>123</v>
      </c>
      <c r="C13" s="6">
        <v>0</v>
      </c>
      <c r="D13" s="6">
        <v>-152488</v>
      </c>
      <c r="E13" s="6">
        <v>-47378</v>
      </c>
      <c r="F13" s="6">
        <v>-59802</v>
      </c>
      <c r="G13" s="6">
        <v>-45308</v>
      </c>
      <c r="H13" s="6">
        <v>0</v>
      </c>
    </row>
    <row r="14" spans="1:8" x14ac:dyDescent="0.25">
      <c r="A14" s="5" t="s">
        <v>124</v>
      </c>
      <c r="B14" s="5" t="s">
        <v>125</v>
      </c>
      <c r="C14" s="6">
        <v>0</v>
      </c>
      <c r="D14" s="6">
        <v>-131366</v>
      </c>
      <c r="E14" s="6">
        <v>-42314</v>
      </c>
      <c r="F14" s="6">
        <v>-52535</v>
      </c>
      <c r="G14" s="6">
        <v>-36517</v>
      </c>
      <c r="H14" s="6">
        <v>0</v>
      </c>
    </row>
    <row r="15" spans="1:8" x14ac:dyDescent="0.25">
      <c r="A15" s="5" t="s">
        <v>126</v>
      </c>
      <c r="B15" s="5" t="s">
        <v>127</v>
      </c>
      <c r="C15" s="6">
        <v>0</v>
      </c>
      <c r="D15" s="6">
        <v>-9525</v>
      </c>
      <c r="E15" s="6">
        <v>-3126</v>
      </c>
      <c r="F15" s="6">
        <v>-3179</v>
      </c>
      <c r="G15" s="6">
        <v>-3220</v>
      </c>
      <c r="H15" s="6">
        <v>0</v>
      </c>
    </row>
    <row r="16" spans="1:8" x14ac:dyDescent="0.25">
      <c r="A16" s="5" t="s">
        <v>85</v>
      </c>
      <c r="B16" s="5" t="s">
        <v>128</v>
      </c>
      <c r="C16" s="6">
        <v>0</v>
      </c>
      <c r="D16" s="6">
        <v>-2540</v>
      </c>
      <c r="E16" s="6">
        <v>-832</v>
      </c>
      <c r="F16" s="6">
        <v>-849</v>
      </c>
      <c r="G16" s="6">
        <v>-859</v>
      </c>
      <c r="H16" s="6">
        <v>0</v>
      </c>
    </row>
    <row r="17" spans="1:8" x14ac:dyDescent="0.25">
      <c r="A17" s="5" t="s">
        <v>129</v>
      </c>
      <c r="B17" s="5" t="s">
        <v>130</v>
      </c>
      <c r="C17" s="6">
        <v>0</v>
      </c>
      <c r="D17" s="6">
        <v>-2859</v>
      </c>
      <c r="E17" s="6">
        <v>-934</v>
      </c>
      <c r="F17" s="6">
        <v>-954</v>
      </c>
      <c r="G17" s="6">
        <v>-971</v>
      </c>
      <c r="H17" s="6">
        <v>0</v>
      </c>
    </row>
    <row r="18" spans="1:8" x14ac:dyDescent="0.25">
      <c r="A18" s="5" t="s">
        <v>131</v>
      </c>
      <c r="B18" s="5" t="s">
        <v>132</v>
      </c>
      <c r="C18" s="6">
        <v>0</v>
      </c>
      <c r="D18" s="6">
        <v>688</v>
      </c>
      <c r="E18" s="6">
        <v>102</v>
      </c>
      <c r="F18" s="6">
        <v>581</v>
      </c>
      <c r="G18" s="6">
        <v>5</v>
      </c>
      <c r="H18" s="6">
        <v>0</v>
      </c>
    </row>
    <row r="19" spans="1:8" x14ac:dyDescent="0.25">
      <c r="A19" s="5" t="s">
        <v>133</v>
      </c>
      <c r="B19" s="5" t="s">
        <v>134</v>
      </c>
      <c r="C19" s="6">
        <v>0</v>
      </c>
      <c r="D19" s="6">
        <v>688</v>
      </c>
      <c r="E19" s="6">
        <v>102</v>
      </c>
      <c r="F19" s="6">
        <v>581</v>
      </c>
      <c r="G19" s="6">
        <v>5</v>
      </c>
      <c r="H19" s="6">
        <v>0</v>
      </c>
    </row>
    <row r="20" spans="1:8" x14ac:dyDescent="0.25">
      <c r="A20" s="5" t="s">
        <v>135</v>
      </c>
      <c r="B20" s="5" t="s">
        <v>136</v>
      </c>
      <c r="C20" s="6">
        <v>0</v>
      </c>
      <c r="D20" s="6">
        <v>190</v>
      </c>
      <c r="E20" s="6">
        <v>190</v>
      </c>
      <c r="F20" s="6">
        <v>292</v>
      </c>
      <c r="G20" s="6">
        <v>873</v>
      </c>
      <c r="H20" s="6">
        <v>0</v>
      </c>
    </row>
    <row r="21" spans="1:8" x14ac:dyDescent="0.25">
      <c r="A21" s="5" t="s">
        <v>137</v>
      </c>
      <c r="B21" s="5" t="s">
        <v>138</v>
      </c>
      <c r="C21" s="6">
        <v>0</v>
      </c>
      <c r="D21" s="6">
        <v>878</v>
      </c>
      <c r="E21" s="6">
        <v>292</v>
      </c>
      <c r="F21" s="6">
        <v>873</v>
      </c>
      <c r="G21" s="6">
        <v>878</v>
      </c>
      <c r="H21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outlineLevelRow="0" outlineLevelCol="0" x14ac:dyDescent="55"/>
  <cols>
    <col min="1" max="1" width="45" customWidth="1"/>
    <col min="2" max="2" width="12" customWidth="1"/>
    <col min="3" max="4" width="16" customWidth="1"/>
    <col min="5" max="8" width="14" customWidth="1"/>
  </cols>
  <sheetData>
    <row r="1" spans="1:1" x14ac:dyDescent="0.25">
      <c r="A1" s="1" t="s">
        <v>139</v>
      </c>
    </row>
    <row r="2" spans="1:1" x14ac:dyDescent="0.25">
      <c r="A2" t="s">
        <v>1</v>
      </c>
    </row>
    <row r="3" spans="1:1" x14ac:dyDescent="0.25">
      <c r="A3" s="1" t="s">
        <v>2</v>
      </c>
    </row>
    <row r="5" spans="1:1" x14ac:dyDescent="0.25">
      <c r="A5" s="2" t="s">
        <v>140</v>
      </c>
    </row>
    <row r="7" spans="1:7" s="3" customForma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7</v>
      </c>
      <c r="F7" s="4" t="s">
        <v>7</v>
      </c>
      <c r="G7" s="4" t="s">
        <v>8</v>
      </c>
    </row>
    <row r="8" spans="1:8" s="3" customFormat="1" x14ac:dyDescent="0.25">
      <c r="A8" s="4" t="s">
        <v>7</v>
      </c>
      <c r="B8" s="4" t="s">
        <v>7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x14ac:dyDescent="0.25">
      <c r="A9" s="5" t="s">
        <v>141</v>
      </c>
      <c r="B9" s="5" t="s">
        <v>34</v>
      </c>
      <c r="C9" s="5">
        <f>SUM(C10:C15)</f>
      </c>
      <c r="D9" s="5">
        <f>SUM(D10:D15)</f>
      </c>
      <c r="E9" s="5">
        <f>SUM(E10:E15)</f>
      </c>
      <c r="F9" s="5">
        <f>SUM(F10:F15)</f>
      </c>
      <c r="G9" s="5">
        <f>SUM(G10:G15)</f>
      </c>
      <c r="H9" s="5">
        <f>SUM(H10:H15)</f>
      </c>
    </row>
    <row r="10" spans="1:8" x14ac:dyDescent="0.25">
      <c r="A10" s="5" t="s">
        <v>142</v>
      </c>
      <c r="B10" s="5" t="s">
        <v>143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8" x14ac:dyDescent="0.25">
      <c r="A11" s="5" t="s">
        <v>144</v>
      </c>
      <c r="B11" s="5" t="s">
        <v>145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8" x14ac:dyDescent="0.25">
      <c r="A12" s="5" t="s">
        <v>146</v>
      </c>
      <c r="B12" s="5" t="s">
        <v>147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 x14ac:dyDescent="0.25">
      <c r="A13" s="5" t="s">
        <v>148</v>
      </c>
      <c r="B13" s="5" t="s">
        <v>149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spans="1:8" x14ac:dyDescent="0.25">
      <c r="A14" s="5" t="s">
        <v>150</v>
      </c>
      <c r="B14" s="5" t="s">
        <v>151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x14ac:dyDescent="0.25">
      <c r="A15" s="5" t="s">
        <v>152</v>
      </c>
      <c r="B15" s="5" t="s">
        <v>153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 outlineLevelRow="0" outlineLevelCol="0" x14ac:dyDescent="55"/>
  <cols>
    <col min="1" max="1" width="45" customWidth="1"/>
    <col min="2" max="2" width="12" customWidth="1"/>
    <col min="3" max="4" width="16" customWidth="1"/>
    <col min="5" max="8" width="14" customWidth="1"/>
  </cols>
  <sheetData>
    <row r="1" spans="1:1" x14ac:dyDescent="0.25">
      <c r="A1" s="1" t="s">
        <v>154</v>
      </c>
    </row>
    <row r="2" spans="1:1" x14ac:dyDescent="0.25">
      <c r="A2" t="s">
        <v>1</v>
      </c>
    </row>
    <row r="3" spans="1:1" x14ac:dyDescent="0.25">
      <c r="A3" s="1" t="s">
        <v>2</v>
      </c>
    </row>
    <row r="5" spans="1:1" x14ac:dyDescent="0.25">
      <c r="A5" s="2" t="s">
        <v>155</v>
      </c>
    </row>
    <row r="7" spans="1:7" s="3" customForma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7</v>
      </c>
      <c r="F7" s="4" t="s">
        <v>7</v>
      </c>
      <c r="G7" s="4" t="s">
        <v>8</v>
      </c>
    </row>
    <row r="8" spans="1:8" s="3" customFormat="1" x14ac:dyDescent="0.25">
      <c r="A8" s="4" t="s">
        <v>7</v>
      </c>
      <c r="B8" s="4" t="s">
        <v>7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x14ac:dyDescent="0.25">
      <c r="A9" s="5" t="s">
        <v>156</v>
      </c>
      <c r="B9" s="5" t="s">
        <v>157</v>
      </c>
      <c r="C9" s="5">
        <f>SUM(C10:C14)</f>
      </c>
      <c r="D9" s="5">
        <f>SUM(D10:D14)</f>
      </c>
      <c r="E9" s="5">
        <f>SUM(E10:E14)</f>
      </c>
      <c r="F9" s="5">
        <f>SUM(F10:F14)</f>
      </c>
      <c r="G9" s="5">
        <f>SUM(G10:G14)</f>
      </c>
      <c r="H9" s="5">
        <f>SUM(H10:H14)</f>
      </c>
    </row>
    <row r="10" spans="1:8" x14ac:dyDescent="0.25">
      <c r="A10" s="5" t="s">
        <v>158</v>
      </c>
      <c r="B10" s="5" t="s">
        <v>159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8" x14ac:dyDescent="0.25">
      <c r="A11" s="5" t="s">
        <v>118</v>
      </c>
      <c r="B11" s="5" t="s">
        <v>160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8" x14ac:dyDescent="0.25">
      <c r="A12" s="5" t="s">
        <v>161</v>
      </c>
      <c r="B12" s="5" t="s">
        <v>162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 x14ac:dyDescent="0.25">
      <c r="A13" s="5" t="s">
        <v>163</v>
      </c>
      <c r="B13" s="5" t="s">
        <v>164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spans="1:8" x14ac:dyDescent="0.25">
      <c r="A14" s="5" t="s">
        <v>165</v>
      </c>
      <c r="B14" s="5" t="s">
        <v>166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 outlineLevelRow="0" outlineLevelCol="0" x14ac:dyDescent="55"/>
  <cols>
    <col min="1" max="1" width="45" customWidth="1"/>
    <col min="2" max="2" width="12" customWidth="1"/>
    <col min="3" max="4" width="16" customWidth="1"/>
    <col min="5" max="8" width="14" customWidth="1"/>
  </cols>
  <sheetData>
    <row r="1" spans="1:1" x14ac:dyDescent="0.25">
      <c r="A1" s="1" t="s">
        <v>167</v>
      </c>
    </row>
    <row r="2" spans="1:1" x14ac:dyDescent="0.25">
      <c r="A2" t="s">
        <v>1</v>
      </c>
    </row>
    <row r="3" spans="1:1" x14ac:dyDescent="0.25">
      <c r="A3" s="1" t="s">
        <v>2</v>
      </c>
    </row>
    <row r="5" spans="1:1" x14ac:dyDescent="0.25">
      <c r="A5" s="2" t="s">
        <v>168</v>
      </c>
    </row>
    <row r="7" spans="1:7" s="3" customForma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7</v>
      </c>
      <c r="F7" s="4" t="s">
        <v>7</v>
      </c>
      <c r="G7" s="4" t="s">
        <v>8</v>
      </c>
    </row>
    <row r="8" spans="1:8" s="3" customFormat="1" x14ac:dyDescent="0.25">
      <c r="A8" s="4" t="s">
        <v>7</v>
      </c>
      <c r="B8" s="4" t="s">
        <v>7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x14ac:dyDescent="0.25">
      <c r="A9" s="5" t="s">
        <v>169</v>
      </c>
      <c r="B9" s="5" t="s">
        <v>64</v>
      </c>
      <c r="C9" s="6">
        <v>0</v>
      </c>
      <c r="D9" s="6">
        <v>151072</v>
      </c>
      <c r="E9" s="6">
        <v>48834</v>
      </c>
      <c r="F9" s="6">
        <v>59443</v>
      </c>
      <c r="G9" s="6">
        <v>42795</v>
      </c>
      <c r="H9" s="6">
        <v>0</v>
      </c>
    </row>
    <row r="10" spans="1:8" x14ac:dyDescent="0.25">
      <c r="A10" s="5" t="s">
        <v>170</v>
      </c>
      <c r="B10" s="5" t="s">
        <v>171</v>
      </c>
      <c r="C10" s="6">
        <v>0</v>
      </c>
      <c r="D10" s="6">
        <v>1291</v>
      </c>
      <c r="E10" s="6">
        <v>1291</v>
      </c>
      <c r="F10" s="6">
        <v>0</v>
      </c>
      <c r="G10" s="6">
        <v>0</v>
      </c>
      <c r="H10" s="6">
        <v>0</v>
      </c>
    </row>
    <row r="11" spans="1:8" x14ac:dyDescent="0.25">
      <c r="A11" s="5" t="s">
        <v>172</v>
      </c>
      <c r="B11" s="5" t="s">
        <v>173</v>
      </c>
      <c r="C11" s="6">
        <v>0</v>
      </c>
      <c r="D11" s="6">
        <v>21</v>
      </c>
      <c r="E11" s="6">
        <v>0</v>
      </c>
      <c r="F11" s="6">
        <v>10</v>
      </c>
      <c r="G11" s="6">
        <v>11</v>
      </c>
      <c r="H11" s="6">
        <v>0</v>
      </c>
    </row>
    <row r="12" spans="1:8" x14ac:dyDescent="0.25">
      <c r="A12" s="5" t="s">
        <v>174</v>
      </c>
      <c r="B12" s="5" t="s">
        <v>175</v>
      </c>
      <c r="C12" s="6">
        <v>0</v>
      </c>
      <c r="D12" s="6">
        <v>148442</v>
      </c>
      <c r="E12" s="6">
        <v>47441</v>
      </c>
      <c r="F12" s="6">
        <v>58869</v>
      </c>
      <c r="G12" s="6">
        <v>42132</v>
      </c>
      <c r="H12" s="6">
        <v>0</v>
      </c>
    </row>
    <row r="13" spans="1:8" x14ac:dyDescent="0.25">
      <c r="A13" s="5" t="s">
        <v>176</v>
      </c>
      <c r="B13" s="5" t="s">
        <v>177</v>
      </c>
      <c r="C13" s="6">
        <v>0</v>
      </c>
      <c r="D13" s="6">
        <v>1318</v>
      </c>
      <c r="E13" s="6">
        <v>102</v>
      </c>
      <c r="F13" s="6">
        <v>564</v>
      </c>
      <c r="G13" s="6">
        <v>652</v>
      </c>
      <c r="H13" s="6">
        <v>0</v>
      </c>
    </row>
    <row r="14" spans="1:8" x14ac:dyDescent="0.25">
      <c r="A14" s="5" t="s">
        <v>178</v>
      </c>
      <c r="B14" s="5" t="s">
        <v>68</v>
      </c>
      <c r="C14" s="6">
        <v>0</v>
      </c>
      <c r="D14" s="6">
        <v>167108</v>
      </c>
      <c r="E14" s="6">
        <v>50997</v>
      </c>
      <c r="F14" s="6">
        <v>63614</v>
      </c>
      <c r="G14" s="6">
        <v>52497</v>
      </c>
      <c r="H14" s="6">
        <v>0</v>
      </c>
    </row>
    <row r="15" spans="1:8" x14ac:dyDescent="0.25">
      <c r="A15" s="5" t="s">
        <v>179</v>
      </c>
      <c r="B15" s="5" t="s">
        <v>180</v>
      </c>
      <c r="C15" s="6">
        <v>0</v>
      </c>
      <c r="D15" s="6">
        <v>148044</v>
      </c>
      <c r="E15" s="6">
        <v>47046</v>
      </c>
      <c r="F15" s="6">
        <v>58870</v>
      </c>
      <c r="G15" s="6">
        <v>42128</v>
      </c>
      <c r="H15" s="6">
        <v>0</v>
      </c>
    </row>
    <row r="16" spans="1:8" x14ac:dyDescent="0.25">
      <c r="A16" s="5" t="s">
        <v>181</v>
      </c>
      <c r="B16" s="5" t="s">
        <v>182</v>
      </c>
      <c r="C16" s="6">
        <v>0</v>
      </c>
      <c r="D16" s="6">
        <v>17752</v>
      </c>
      <c r="E16" s="6">
        <v>2660</v>
      </c>
      <c r="F16" s="6">
        <v>4734</v>
      </c>
      <c r="G16" s="6">
        <v>10358</v>
      </c>
      <c r="H16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45" customWidth="1"/>
    <col min="2" max="2" width="12" customWidth="1"/>
    <col min="3" max="4" width="16" customWidth="1"/>
    <col min="5" max="8" width="14" customWidth="1"/>
  </cols>
  <sheetData>
    <row r="1" spans="1:1" x14ac:dyDescent="0.25">
      <c r="A1" s="1" t="s">
        <v>183</v>
      </c>
    </row>
    <row r="2" spans="1:1" x14ac:dyDescent="0.25">
      <c r="A2" t="s">
        <v>1</v>
      </c>
    </row>
    <row r="3" spans="1:1" x14ac:dyDescent="0.25">
      <c r="A3" s="1" t="s">
        <v>2</v>
      </c>
    </row>
    <row r="5" spans="1:1" x14ac:dyDescent="0.25">
      <c r="A5" s="2" t="s">
        <v>184</v>
      </c>
    </row>
    <row r="7" spans="1:7" s="3" customForma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7</v>
      </c>
      <c r="F7" s="4" t="s">
        <v>7</v>
      </c>
      <c r="G7" s="4" t="s">
        <v>8</v>
      </c>
    </row>
    <row r="8" spans="1:8" s="3" customFormat="1" x14ac:dyDescent="0.25">
      <c r="A8" s="4" t="s">
        <v>7</v>
      </c>
      <c r="B8" s="4" t="s">
        <v>7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x14ac:dyDescent="0.25">
      <c r="A9" s="5" t="s">
        <v>185</v>
      </c>
      <c r="B9" s="5" t="s">
        <v>157</v>
      </c>
      <c r="C9" s="6">
        <v>76</v>
      </c>
      <c r="D9" s="6">
        <v>67</v>
      </c>
      <c r="E9" s="6">
        <v>67</v>
      </c>
      <c r="F9" s="6">
        <v>66</v>
      </c>
      <c r="G9" s="6">
        <v>67</v>
      </c>
      <c r="H9" s="6">
        <v>0</v>
      </c>
    </row>
    <row r="10" spans="1:8" x14ac:dyDescent="0.25">
      <c r="A10" s="5" t="s">
        <v>186</v>
      </c>
      <c r="B10" s="5" t="s">
        <v>187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0</v>
      </c>
    </row>
    <row r="11" spans="1:8" x14ac:dyDescent="0.25">
      <c r="A11" s="5" t="s">
        <v>188</v>
      </c>
      <c r="B11" s="5" t="s">
        <v>189</v>
      </c>
      <c r="C11" s="6">
        <v>44</v>
      </c>
      <c r="D11" s="6">
        <v>45</v>
      </c>
      <c r="E11" s="6">
        <v>45</v>
      </c>
      <c r="F11" s="6">
        <v>44</v>
      </c>
      <c r="G11" s="6">
        <v>45</v>
      </c>
      <c r="H11" s="6">
        <v>0</v>
      </c>
    </row>
    <row r="12" spans="1:8" x14ac:dyDescent="0.25">
      <c r="A12" s="5" t="s">
        <v>190</v>
      </c>
      <c r="B12" s="5" t="s">
        <v>191</v>
      </c>
      <c r="C12" s="6">
        <v>31</v>
      </c>
      <c r="D12" s="6">
        <v>21</v>
      </c>
      <c r="E12" s="6">
        <v>21</v>
      </c>
      <c r="F12" s="6">
        <v>21</v>
      </c>
      <c r="G12" s="6">
        <v>21</v>
      </c>
      <c r="H12" s="6">
        <v>0</v>
      </c>
    </row>
    <row r="13" spans="1:8" x14ac:dyDescent="0.25">
      <c r="A13" s="5" t="s">
        <v>192</v>
      </c>
      <c r="B13" s="5" t="s">
        <v>160</v>
      </c>
      <c r="C13" s="6">
        <v>6900</v>
      </c>
      <c r="D13" s="6">
        <v>11986</v>
      </c>
      <c r="E13" s="6">
        <v>3861</v>
      </c>
      <c r="F13" s="6">
        <v>4165</v>
      </c>
      <c r="G13" s="6">
        <v>0</v>
      </c>
      <c r="H13" s="6">
        <v>0</v>
      </c>
    </row>
    <row r="14" spans="1:8" x14ac:dyDescent="0.25">
      <c r="A14" s="5" t="s">
        <v>186</v>
      </c>
      <c r="B14" s="5" t="s">
        <v>193</v>
      </c>
      <c r="C14" s="6">
        <v>329</v>
      </c>
      <c r="D14" s="6">
        <v>287</v>
      </c>
      <c r="E14" s="6">
        <v>144</v>
      </c>
      <c r="F14" s="6">
        <v>143</v>
      </c>
      <c r="G14" s="6">
        <v>0</v>
      </c>
      <c r="H14" s="6">
        <v>0</v>
      </c>
    </row>
    <row r="15" spans="1:8" x14ac:dyDescent="0.25">
      <c r="A15" s="5" t="s">
        <v>188</v>
      </c>
      <c r="B15" s="5" t="s">
        <v>194</v>
      </c>
      <c r="C15" s="6">
        <v>4825</v>
      </c>
      <c r="D15" s="6">
        <v>6541</v>
      </c>
      <c r="E15" s="6">
        <v>3128</v>
      </c>
      <c r="F15" s="6">
        <v>3413</v>
      </c>
      <c r="G15" s="6">
        <v>0</v>
      </c>
      <c r="H15" s="6">
        <v>0</v>
      </c>
    </row>
    <row r="16" spans="1:8" x14ac:dyDescent="0.25">
      <c r="A16" s="5" t="s">
        <v>195</v>
      </c>
      <c r="B16" s="5" t="s">
        <v>196</v>
      </c>
      <c r="C16" s="6">
        <v>1746</v>
      </c>
      <c r="D16" s="6">
        <v>1198</v>
      </c>
      <c r="E16" s="6">
        <v>589</v>
      </c>
      <c r="F16" s="6">
        <v>609</v>
      </c>
      <c r="G16" s="6">
        <v>0</v>
      </c>
      <c r="H16" s="6">
        <v>0</v>
      </c>
    </row>
    <row r="17" spans="1:8" x14ac:dyDescent="0.25">
      <c r="A17" s="5" t="s">
        <v>197</v>
      </c>
      <c r="B17" s="5" t="s">
        <v>162</v>
      </c>
      <c r="C17" s="6">
        <v>15132</v>
      </c>
      <c r="D17" s="6">
        <v>19965</v>
      </c>
      <c r="E17" s="6">
        <v>19209</v>
      </c>
      <c r="F17" s="6">
        <v>21035</v>
      </c>
      <c r="G17" s="6">
        <v>0</v>
      </c>
      <c r="H17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 outlineLevelRow="0" outlineLevelCol="0" x14ac:dyDescent="55"/>
  <cols>
    <col min="1" max="1" width="20" customWidth="1"/>
    <col min="2" max="2" width="14" customWidth="1"/>
    <col min="3" max="3" width="45" customWidth="1"/>
    <col min="4" max="4" width="22" customWidth="1"/>
    <col min="5" max="5" width="25" customWidth="1"/>
  </cols>
  <sheetData>
    <row r="1" spans="1:1" x14ac:dyDescent="0.25">
      <c r="A1" s="2" t="s">
        <v>198</v>
      </c>
    </row>
    <row r="3" spans="1:5" s="3" customFormat="1" x14ac:dyDescent="0.25">
      <c r="A3" s="3" t="s">
        <v>199</v>
      </c>
      <c r="B3" s="3" t="s">
        <v>5</v>
      </c>
      <c r="C3" s="3" t="s">
        <v>200</v>
      </c>
      <c r="D3" s="3" t="s">
        <v>201</v>
      </c>
      <c r="E3" s="3" t="s">
        <v>202</v>
      </c>
    </row>
    <row r="4" spans="1:5" x14ac:dyDescent="0.25">
      <c r="A4" t="s">
        <v>203</v>
      </c>
      <c r="B4" t="s">
        <v>204</v>
      </c>
      <c r="C4" t="s">
        <v>205</v>
      </c>
      <c r="D4">
        <v>61890</v>
      </c>
      <c r="E4" t="s">
        <v>206</v>
      </c>
    </row>
    <row r="5" spans="1:5" x14ac:dyDescent="0.25">
      <c r="A5" t="s">
        <v>203</v>
      </c>
      <c r="B5" t="s">
        <v>207</v>
      </c>
      <c r="C5" t="s">
        <v>208</v>
      </c>
      <c r="D5">
        <v>3374</v>
      </c>
      <c r="E5" t="s">
        <v>209</v>
      </c>
    </row>
    <row r="6" spans="1:5" x14ac:dyDescent="0.25">
      <c r="A6" t="s">
        <v>203</v>
      </c>
      <c r="B6" t="s">
        <v>23</v>
      </c>
      <c r="C6" t="s">
        <v>210</v>
      </c>
      <c r="D6">
        <v>65264</v>
      </c>
      <c r="E6" t="s">
        <v>211</v>
      </c>
    </row>
    <row r="7" spans="1:5" x14ac:dyDescent="0.25">
      <c r="A7" s="5" t="s">
        <v>203</v>
      </c>
      <c r="B7" s="5" t="s">
        <v>212</v>
      </c>
      <c r="C7" s="5" t="s">
        <v>57</v>
      </c>
      <c r="D7" s="6">
        <v>-63223</v>
      </c>
      <c r="E7" s="5" t="s">
        <v>213</v>
      </c>
    </row>
    <row r="8" spans="1:5" x14ac:dyDescent="0.25">
      <c r="A8" s="5" t="s">
        <v>203</v>
      </c>
      <c r="B8" s="5" t="s">
        <v>214</v>
      </c>
      <c r="C8" s="5" t="s">
        <v>215</v>
      </c>
      <c r="D8" s="6">
        <v>-82503</v>
      </c>
      <c r="E8" s="5" t="s">
        <v>216</v>
      </c>
    </row>
    <row r="9" spans="1:5" x14ac:dyDescent="0.25">
      <c r="A9" s="5" t="s">
        <v>217</v>
      </c>
      <c r="B9" s="5" t="s">
        <v>218</v>
      </c>
      <c r="C9" s="5" t="s">
        <v>219</v>
      </c>
      <c r="D9" s="6">
        <v>151072</v>
      </c>
      <c r="E9" s="5" t="s">
        <v>220</v>
      </c>
    </row>
    <row r="10" spans="1:5" x14ac:dyDescent="0.25">
      <c r="A10" s="5" t="s">
        <v>217</v>
      </c>
      <c r="B10" s="5" t="s">
        <v>221</v>
      </c>
      <c r="C10" s="5" t="s">
        <v>89</v>
      </c>
      <c r="D10" s="6">
        <v>-167108</v>
      </c>
      <c r="E10" s="5" t="s">
        <v>222</v>
      </c>
    </row>
    <row r="11" spans="1:5" x14ac:dyDescent="0.25">
      <c r="A11" s="5" t="s">
        <v>217</v>
      </c>
      <c r="B11" s="5" t="s">
        <v>223</v>
      </c>
      <c r="C11" s="5" t="s">
        <v>224</v>
      </c>
      <c r="D11" s="6">
        <v>-16036</v>
      </c>
      <c r="E11" s="5" t="s">
        <v>225</v>
      </c>
    </row>
    <row r="12" spans="1:5" x14ac:dyDescent="0.25">
      <c r="A12" s="5" t="s">
        <v>217</v>
      </c>
      <c r="B12" s="5" t="s">
        <v>226</v>
      </c>
      <c r="C12" s="5" t="s">
        <v>227</v>
      </c>
      <c r="D12" s="6">
        <v>-14187</v>
      </c>
      <c r="E12" s="5" t="s">
        <v>228</v>
      </c>
    </row>
    <row r="13" spans="1:5" x14ac:dyDescent="0.25">
      <c r="A13" s="5" t="s">
        <v>229</v>
      </c>
      <c r="B13" s="5" t="s">
        <v>230</v>
      </c>
      <c r="C13" s="5" t="s">
        <v>231</v>
      </c>
      <c r="D13" s="6">
        <v>148442</v>
      </c>
      <c r="E13" s="5" t="s">
        <v>232</v>
      </c>
    </row>
    <row r="14" spans="1:5" x14ac:dyDescent="0.25">
      <c r="A14" s="5" t="s">
        <v>233</v>
      </c>
      <c r="B14" s="5" t="s">
        <v>164</v>
      </c>
      <c r="C14" s="5" t="s">
        <v>234</v>
      </c>
      <c r="D14" s="6">
        <v>2235</v>
      </c>
      <c r="E14" s="5" t="s">
        <v>235</v>
      </c>
    </row>
    <row r="15" spans="1:5" x14ac:dyDescent="0.25">
      <c r="A15" s="5" t="s">
        <v>233</v>
      </c>
      <c r="B15" s="5" t="s">
        <v>236</v>
      </c>
      <c r="C15" s="5" t="s">
        <v>237</v>
      </c>
      <c r="D15" s="6">
        <v>621</v>
      </c>
      <c r="E15" s="5" t="s">
        <v>238</v>
      </c>
    </row>
    <row r="16" spans="1:5" x14ac:dyDescent="0.25">
      <c r="A16" s="5" t="s">
        <v>239</v>
      </c>
      <c r="B16" s="5" t="s">
        <v>240</v>
      </c>
      <c r="C16" s="5" t="s">
        <v>241</v>
      </c>
      <c r="D16" s="6">
        <v>2540</v>
      </c>
      <c r="E16" s="5" t="s">
        <v>242</v>
      </c>
    </row>
    <row r="17" spans="1:5" x14ac:dyDescent="0.25">
      <c r="A17" s="5" t="s">
        <v>243</v>
      </c>
      <c r="B17" s="5" t="s">
        <v>244</v>
      </c>
      <c r="C17" s="5" t="s">
        <v>245</v>
      </c>
      <c r="D17" s="6">
        <v>152421</v>
      </c>
      <c r="E17" s="5" t="s">
        <v>246</v>
      </c>
    </row>
    <row r="18" spans="1:5" x14ac:dyDescent="0.25">
      <c r="A18" s="5" t="s">
        <v>247</v>
      </c>
      <c r="B18" s="5" t="s">
        <v>248</v>
      </c>
      <c r="C18" s="5" t="s">
        <v>249</v>
      </c>
      <c r="D18" s="6">
        <v>148146</v>
      </c>
      <c r="E18" s="5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45" customWidth="1"/>
    <col min="2" max="2" width="22" customWidth="1"/>
    <col min="3" max="3" width="25" customWidth="1"/>
    <col min="4" max="5" width="18" customWidth="1"/>
  </cols>
  <sheetData>
    <row r="1" spans="1:1" x14ac:dyDescent="0.25">
      <c r="A1" s="2" t="s">
        <v>251</v>
      </c>
    </row>
    <row r="3" spans="1:5" s="3" customFormat="1" x14ac:dyDescent="0.25">
      <c r="A3" s="3" t="s">
        <v>252</v>
      </c>
      <c r="B3" s="3" t="s">
        <v>253</v>
      </c>
      <c r="C3" s="3" t="s">
        <v>254</v>
      </c>
      <c r="D3" s="3" t="s">
        <v>255</v>
      </c>
      <c r="E3" s="3" t="s">
        <v>256</v>
      </c>
    </row>
    <row r="4" spans="1:5" x14ac:dyDescent="0.25">
      <c r="A4" t="s">
        <v>257</v>
      </c>
      <c r="B4">
        <v>65264</v>
      </c>
      <c r="C4">
        <v>65264</v>
      </c>
      <c r="D4">
        <v>0</v>
      </c>
      <c r="E4" t="s">
        <v>258</v>
      </c>
    </row>
    <row r="5" spans="1:5" x14ac:dyDescent="0.25">
      <c r="A5" t="s">
        <v>259</v>
      </c>
      <c r="B5">
        <v>-14187</v>
      </c>
      <c r="C5">
        <v>-14187</v>
      </c>
      <c r="D5">
        <v>0</v>
      </c>
      <c r="E5" t="s">
        <v>258</v>
      </c>
    </row>
    <row r="6" spans="1:5" x14ac:dyDescent="0.25">
      <c r="A6" t="s">
        <v>260</v>
      </c>
      <c r="B6">
        <v>-82503</v>
      </c>
      <c r="C6">
        <v>-82503</v>
      </c>
      <c r="D6">
        <v>0</v>
      </c>
      <c r="E6" t="s">
        <v>258</v>
      </c>
    </row>
    <row r="7" spans="1:5" x14ac:dyDescent="0.25">
      <c r="A7" s="5" t="s">
        <v>261</v>
      </c>
      <c r="B7" s="5">
        <v>151072</v>
      </c>
      <c r="C7" s="6">
        <v>151072</v>
      </c>
      <c r="D7" s="6">
        <v>0</v>
      </c>
      <c r="E7" s="5" t="s">
        <v>258</v>
      </c>
    </row>
    <row r="8" spans="1:5" x14ac:dyDescent="0.25">
      <c r="A8" s="5" t="s">
        <v>262</v>
      </c>
      <c r="B8" s="5">
        <v>167108</v>
      </c>
      <c r="C8" s="6">
        <v>167108</v>
      </c>
      <c r="D8" s="6">
        <v>0</v>
      </c>
      <c r="E8" s="5" t="s">
        <v>258</v>
      </c>
    </row>
    <row r="9" spans="1:5" x14ac:dyDescent="0.25">
      <c r="A9" s="5" t="s">
        <v>263</v>
      </c>
      <c r="B9" s="5">
        <v>878</v>
      </c>
      <c r="C9" s="6">
        <v>878</v>
      </c>
      <c r="D9" s="6">
        <v>0</v>
      </c>
      <c r="E9" s="5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580</vt:lpstr>
      <vt:lpstr>581</vt:lpstr>
      <vt:lpstr>582</vt:lpstr>
      <vt:lpstr>583</vt:lpstr>
      <vt:lpstr>584</vt:lpstr>
      <vt:lpstr>588</vt:lpstr>
      <vt:lpstr>589</vt:lpstr>
      <vt:lpstr>5895</vt:lpstr>
      <vt:lpstr>Дані_ПДФ</vt:lpstr>
      <vt:lpstr>Перевірка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 2025 Studio</dc:creator>
  <dc:title/>
  <dc:subject/>
  <dc:description/>
  <cp:keywords/>
  <cp:category/>
  <cp:lastModifiedBy>Unknown</cp:lastModifiedBy>
  <dcterms:created xsi:type="dcterms:W3CDTF">2026-10-27T12:51:00Z</dcterms:created>
  <dcterms:modified xsi:type="dcterms:W3CDTF">2026-10-27T12:51:00Z</dcterms:modified>
</cp:coreProperties>
</file>